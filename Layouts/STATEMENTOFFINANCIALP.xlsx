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cuments\Sasra Reports\"/>
    </mc:Choice>
  </mc:AlternateContent>
  <xr:revisionPtr revIDLastSave="0" documentId="13_ncr:1_{ABBB6E16-4D8E-4683-A5E9-9D18E3C2EA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Statement of Fnancial Posi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2" l="1"/>
  <c r="C46" i="2"/>
  <c r="C48" i="2"/>
  <c r="C7" i="2" l="1"/>
  <c r="C6" i="2"/>
  <c r="C5" i="2"/>
  <c r="C3" i="2"/>
  <c r="C61" i="2" l="1"/>
  <c r="C65" i="2" l="1"/>
  <c r="C66" i="2"/>
  <c r="C73" i="2"/>
  <c r="C72" i="2"/>
  <c r="C71" i="2"/>
  <c r="C70" i="2"/>
  <c r="C69" i="2"/>
  <c r="C57" i="2"/>
  <c r="C56" i="2"/>
  <c r="C55" i="2"/>
  <c r="C54" i="2"/>
  <c r="C53" i="2"/>
  <c r="C52" i="2"/>
  <c r="C40" i="2"/>
  <c r="C39" i="2"/>
  <c r="C38" i="2"/>
  <c r="C37" i="2"/>
  <c r="C36" i="2"/>
  <c r="C33" i="2"/>
  <c r="C32" i="2"/>
  <c r="C31" i="2"/>
  <c r="C28" i="2"/>
  <c r="C27" i="2"/>
  <c r="C24" i="2"/>
  <c r="C23" i="2"/>
  <c r="C22" i="2"/>
  <c r="C21" i="2"/>
  <c r="C20" i="2"/>
  <c r="C19" i="2"/>
  <c r="C18" i="2"/>
  <c r="C15" i="2"/>
  <c r="C13" i="2"/>
  <c r="C12" i="2"/>
  <c r="C51" i="2" l="1"/>
  <c r="C26" i="2"/>
  <c r="C17" i="2"/>
  <c r="C64" i="2"/>
  <c r="C11" i="2"/>
  <c r="C35" i="2"/>
  <c r="C68" i="2"/>
  <c r="C30" i="2"/>
  <c r="C42" i="2" l="1"/>
  <c r="C74" i="2"/>
  <c r="C49" i="2" l="1"/>
  <c r="C58" i="2"/>
  <c r="C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IORETA</author>
  </authors>
  <commentList>
    <comment ref="C6" authorId="0" shapeId="0" xr:uid="{00000000-0006-0000-0100-000001000000}">
      <text>
        <r>
          <rPr>
            <b/>
            <sz val="9"/>
            <rFont val="Tahoma"/>
            <family val="2"/>
          </rPr>
          <t>Start Date:</t>
        </r>
        <r>
          <rPr>
            <sz val="9"/>
            <rFont val="Tahoma"/>
            <family val="2"/>
          </rPr>
          <t xml:space="preserve">
Start Date Of The Year</t>
        </r>
      </text>
    </comment>
    <comment ref="C7" authorId="0" shapeId="0" xr:uid="{00000000-0006-0000-0100-000002000000}">
      <text>
        <r>
          <rPr>
            <b/>
            <sz val="9"/>
            <rFont val="Tahoma"/>
            <family val="2"/>
          </rPr>
          <t>Start Date:</t>
        </r>
        <r>
          <rPr>
            <sz val="9"/>
            <rFont val="Tahoma"/>
            <family val="2"/>
          </rPr>
          <t xml:space="preserve">
Start Of The Year
</t>
        </r>
      </text>
    </comment>
  </commentList>
</comments>
</file>

<file path=xl/sharedStrings.xml><?xml version="1.0" encoding="utf-8"?>
<sst xmlns="http://schemas.openxmlformats.org/spreadsheetml/2006/main" count="128" uniqueCount="126">
  <si>
    <t>ReportForNavId_1</t>
  </si>
  <si>
    <t>StartDate</t>
  </si>
  <si>
    <t>FinancialYear</t>
  </si>
  <si>
    <t>Asat</t>
  </si>
  <si>
    <t>Name</t>
  </si>
  <si>
    <t>Cashinhand</t>
  </si>
  <si>
    <t>Cashatbank</t>
  </si>
  <si>
    <t>CashCashEquivalent</t>
  </si>
  <si>
    <t>PrepaymentsSundryReceivables</t>
  </si>
  <si>
    <t>FinancialInvestments</t>
  </si>
  <si>
    <t>GovernmentSecurities</t>
  </si>
  <si>
    <t>Placement</t>
  </si>
  <si>
    <t>CommercialPapers</t>
  </si>
  <si>
    <t>CollectiveInvestment</t>
  </si>
  <si>
    <t>Derivatives</t>
  </si>
  <si>
    <t>EquityInvestments</t>
  </si>
  <si>
    <t>Investmentincompanies</t>
  </si>
  <si>
    <t>GrossLoanPortfolio</t>
  </si>
  <si>
    <t>PropertyEquipment</t>
  </si>
  <si>
    <t>AllowanceforLoanLoss</t>
  </si>
  <si>
    <t>Nonwithdrawabledeposits</t>
  </si>
  <si>
    <t>TaxPayable</t>
  </si>
  <si>
    <t>DeferredTaxLiability</t>
  </si>
  <si>
    <t>RetirementBenefitsLiability</t>
  </si>
  <si>
    <t>OtherLiabilities</t>
  </si>
  <si>
    <t>ExternalBorrowings</t>
  </si>
  <si>
    <t>TotalLiabilities</t>
  </si>
  <si>
    <t>ShareCapital</t>
  </si>
  <si>
    <t>StatutoryReserve</t>
  </si>
  <si>
    <t>OtherReserves</t>
  </si>
  <si>
    <t>RevaluationReserves</t>
  </si>
  <si>
    <t>ProposedDividends</t>
  </si>
  <si>
    <t>AdjustmenttoEquity</t>
  </si>
  <si>
    <t>PrioryarRetainedEarnings</t>
  </si>
  <si>
    <t>CurrentYearSurplus</t>
  </si>
  <si>
    <t>TaxRecoverable</t>
  </si>
  <si>
    <t>DeferredTaxAssets</t>
  </si>
  <si>
    <t>RetirementBenefitAssets</t>
  </si>
  <si>
    <t>OtherAssets</t>
  </si>
  <si>
    <t>IntangibleAssets</t>
  </si>
  <si>
    <t>PrepaidLeaseentals</t>
  </si>
  <si>
    <t>InvestmentProperties</t>
  </si>
  <si>
    <t>DividendPayable</t>
  </si>
  <si>
    <t>NetLoanPortfolio</t>
  </si>
  <si>
    <t>AccountsReceivables</t>
  </si>
  <si>
    <t>PropertyEquipmentOtheassets</t>
  </si>
  <si>
    <t>AccountsPayableOtherLiabilities</t>
  </si>
  <si>
    <t>CapitalGrants</t>
  </si>
  <si>
    <t>EQUITY</t>
  </si>
  <si>
    <t>RetainedEarnings</t>
  </si>
  <si>
    <t>OtherEquityAccounts</t>
  </si>
  <si>
    <t>TotalEquity</t>
  </si>
  <si>
    <t>TotalLiabilitiesandEquity</t>
  </si>
  <si>
    <t>TotalLiabilitiesNew</t>
  </si>
  <si>
    <t>TotalAssets</t>
  </si>
  <si>
    <t>FORM 2G</t>
  </si>
  <si>
    <t xml:space="preserve"> STATEMENT OF FINANCIAL POSITION</t>
  </si>
  <si>
    <t xml:space="preserve">NAME OF SACCO SOCIETY </t>
  </si>
  <si>
    <t>SACCO SOCIETY CS NUMBER</t>
  </si>
  <si>
    <t xml:space="preserve">FINANCIAL YEAR </t>
  </si>
  <si>
    <t>START DATE:</t>
  </si>
  <si>
    <t>END DATE:</t>
  </si>
  <si>
    <t>Year to Date</t>
  </si>
  <si>
    <t>AMOUNT(KSHS)</t>
  </si>
  <si>
    <t>Ref No</t>
  </si>
  <si>
    <t>ASSETS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</si>
  <si>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</si>
  <si>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</si>
  <si>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</si>
  <si>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</si>
  <si>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</si>
  <si>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</si>
  <si>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Placement in Commercial Banks, Saccos and similar financial Institutions</t>
  </si>
  <si>
    <t>Commercial Papers, notes and Bonds</t>
  </si>
  <si>
    <t>Collective Investment Schemes</t>
  </si>
  <si>
    <t>Equity Investments in subsidiaries and related companies</t>
  </si>
  <si>
    <t>Investment in companies-shares/stocks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</si>
  <si>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</si>
  <si>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</si>
  <si>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</si>
  <si>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</si>
  <si>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</si>
  <si>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</si>
  <si>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</si>
  <si>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</si>
  <si>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</si>
  <si>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</si>
  <si>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</si>
  <si>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</si>
  <si>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</si>
  <si>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</si>
  <si>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LIABILITIES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</si>
  <si>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</si>
  <si>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</si>
  <si>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</si>
  <si>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</si>
  <si>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</si>
  <si>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</si>
  <si>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</si>
  <si>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</si>
  <si>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</si>
  <si>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</si>
  <si>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</si>
  <si>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</si>
  <si>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</si>
  <si>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</si>
  <si>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</si>
  <si>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</si>
  <si>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</si>
  <si>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</si>
  <si>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</si>
  <si>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</si>
  <si>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</si>
  <si>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</si>
  <si>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</si>
  <si>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r>
      <rPr>
        <b/>
        <sz val="10.5"/>
        <rFont val="Cambria"/>
        <family val="1"/>
      </rPr>
      <t>Note:</t>
    </r>
    <r>
      <rPr>
        <sz val="10.5"/>
        <rFont val="Cambria"/>
        <family val="1"/>
      </rPr>
      <t xml:space="preserve"> This return should be received on or before the 15th day of the month following end of every  quarter </t>
    </r>
  </si>
  <si>
    <t>AUTHORIZATION:</t>
  </si>
  <si>
    <t xml:space="preserve"> We declare that this return, to the best of our knowledge and belief is correct.</t>
  </si>
  <si>
    <t>………...…..sign……………………………..date ...……………………..</t>
  </si>
  <si>
    <t>Name of Authorizing Officer</t>
  </si>
  <si>
    <t>…………………………………………………..sign……………………………..date……………………..</t>
  </si>
  <si>
    <t>Name of Countersigning Officer</t>
  </si>
  <si>
    <t>Savings Deposits - Withdrawable deposits - FOSA)</t>
  </si>
  <si>
    <t>Short Term Deposits (e.g Fixed deposits, special savings)</t>
  </si>
  <si>
    <t>WithdrawableFOSASavings</t>
  </si>
  <si>
    <t>ShortTermDeposits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</si>
</sst>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.00_ ;_ * \-#,##0.00_ ;_ * &quot;-&quot;??_ ;_ @_ "/>
    <numFmt numFmtId="166" formatCode="0.0"/>
  </numFmts>
  <fonts count="9">
    <font>
      <sz val="11"/>
      <name val="Calibri"/>
      <charset val="134"/>
      <scheme val="minor"/>
    </font>
    <font>
      <sz val="11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10.5"/>
      <name val="Cambria"/>
      <family val="1"/>
    </font>
    <font>
      <sz val="11"/>
      <color theme="1"/>
      <name val="Calibri"/>
      <family val="2"/>
      <scheme val="minor"/>
    </font>
    <font>
      <sz val="10.5"/>
      <name val="Cambria"/>
      <family val="1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</borders>
  <cellStyleXfs count="2">
    <xf numFmtId="0" fontId="0" fillId="0" borderId="0"/>
    <xf numFmtId="165" fontId="5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1" fillId="0" borderId="3" xfId="0" applyFont="1" applyBorder="1" applyAlignment="1">
      <alignment horizontal="right"/>
    </xf>
    <xf numFmtId="0" fontId="3" fillId="0" borderId="2" xfId="0" applyFont="1" applyBorder="1" applyProtection="1">
      <protection locked="0"/>
    </xf>
    <xf numFmtId="0" fontId="1" fillId="0" borderId="3" xfId="0" applyFont="1" applyBorder="1" applyAlignment="1">
      <alignment horizontal="right" wrapText="1"/>
    </xf>
    <xf numFmtId="0" fontId="2" fillId="0" borderId="3" xfId="0" applyFont="1" applyBorder="1"/>
    <xf numFmtId="0" fontId="1" fillId="0" borderId="3" xfId="0" applyFont="1" applyBorder="1"/>
    <xf numFmtId="166" fontId="1" fillId="0" borderId="3" xfId="0" applyNumberFormat="1" applyFont="1" applyBorder="1" applyAlignment="1">
      <alignment horizontal="right"/>
    </xf>
    <xf numFmtId="164" fontId="2" fillId="2" borderId="3" xfId="1" applyNumberFormat="1" applyFont="1" applyFill="1" applyBorder="1" applyAlignment="1" applyProtection="1"/>
    <xf numFmtId="164" fontId="1" fillId="0" borderId="3" xfId="1" applyNumberFormat="1" applyFont="1" applyFill="1" applyBorder="1" applyAlignment="1" applyProtection="1">
      <protection locked="0"/>
    </xf>
    <xf numFmtId="164" fontId="1" fillId="0" borderId="3" xfId="1" applyNumberFormat="1" applyFont="1" applyFill="1" applyBorder="1" applyAlignment="1" applyProtection="1"/>
    <xf numFmtId="164" fontId="2" fillId="0" borderId="3" xfId="1" applyNumberFormat="1" applyFont="1" applyFill="1" applyBorder="1" applyAlignment="1" applyProtection="1"/>
    <xf numFmtId="0" fontId="1" fillId="0" borderId="4" xfId="0" applyFont="1" applyBorder="1" applyAlignment="1">
      <alignment horizontal="right"/>
    </xf>
    <xf numFmtId="0" fontId="2" fillId="0" borderId="4" xfId="0" applyFont="1" applyBorder="1"/>
    <xf numFmtId="164" fontId="2" fillId="2" borderId="4" xfId="1" applyNumberFormat="1" applyFont="1" applyFill="1" applyBorder="1" applyAlignment="1" applyProtection="1"/>
    <xf numFmtId="0" fontId="2" fillId="0" borderId="1" xfId="0" applyFont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 applyProtection="1">
      <alignment horizontal="right"/>
      <protection locked="0"/>
    </xf>
    <xf numFmtId="0" fontId="4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E2" insertRow="1" totalsRowShown="0">
  <autoFilter ref="A1:BE2" xr:uid="{00000000-0009-0000-0100-000001000000}"/>
  <tableColumns count="57">
    <tableColumn id="1" xr3:uid="{00000000-0010-0000-0000-000001000000}" name="ReportForNavId_1"/>
    <tableColumn id="2" xr3:uid="{00000000-0010-0000-0000-000002000000}" name="StartDate"/>
    <tableColumn id="3" xr3:uid="{00000000-0010-0000-0000-000003000000}" name="FinancialYear"/>
    <tableColumn id="4" xr3:uid="{00000000-0010-0000-0000-000004000000}" name="Asat"/>
    <tableColumn id="5" xr3:uid="{00000000-0010-0000-0000-000005000000}" name="Name"/>
    <tableColumn id="6" xr3:uid="{00000000-0010-0000-0000-000006000000}" name="Cashinhand"/>
    <tableColumn id="7" xr3:uid="{00000000-0010-0000-0000-000007000000}" name="Cashatbank"/>
    <tableColumn id="8" xr3:uid="{00000000-0010-0000-0000-000008000000}" name="CashCashEquivalent"/>
    <tableColumn id="9" xr3:uid="{00000000-0010-0000-0000-000009000000}" name="PrepaymentsSundryReceivables"/>
    <tableColumn id="10" xr3:uid="{00000000-0010-0000-0000-00000A000000}" name="FinancialInvestments"/>
    <tableColumn id="11" xr3:uid="{00000000-0010-0000-0000-00000B000000}" name="GovernmentSecurities"/>
    <tableColumn id="12" xr3:uid="{00000000-0010-0000-0000-00000C000000}" name="Placement"/>
    <tableColumn id="13" xr3:uid="{00000000-0010-0000-0000-00000D000000}" name="CommercialPapers"/>
    <tableColumn id="14" xr3:uid="{00000000-0010-0000-0000-00000E000000}" name="CollectiveInvestment"/>
    <tableColumn id="15" xr3:uid="{00000000-0010-0000-0000-00000F000000}" name="Derivatives"/>
    <tableColumn id="16" xr3:uid="{00000000-0010-0000-0000-000010000000}" name="EquityInvestments"/>
    <tableColumn id="17" xr3:uid="{00000000-0010-0000-0000-000011000000}" name="Investmentincompanies"/>
    <tableColumn id="18" xr3:uid="{00000000-0010-0000-0000-000012000000}" name="GrossLoanPortfolio"/>
    <tableColumn id="19" xr3:uid="{00000000-0010-0000-0000-000013000000}" name="PropertyEquipment"/>
    <tableColumn id="20" xr3:uid="{00000000-0010-0000-0000-000014000000}" name="AllowanceforLoanLoss"/>
    <tableColumn id="21" xr3:uid="{00000000-0010-0000-0000-000015000000}" name="Nonwithdrawabledeposits"/>
    <tableColumn id="22" xr3:uid="{00000000-0010-0000-0000-000016000000}" name="TaxPayable"/>
    <tableColumn id="23" xr3:uid="{00000000-0010-0000-0000-000017000000}" name="DeferredTaxLiability"/>
    <tableColumn id="24" xr3:uid="{00000000-0010-0000-0000-000018000000}" name="RetirementBenefitsLiability"/>
    <tableColumn id="25" xr3:uid="{00000000-0010-0000-0000-000019000000}" name="OtherLiabilities"/>
    <tableColumn id="26" xr3:uid="{00000000-0010-0000-0000-00001A000000}" name="ExternalBorrowings"/>
    <tableColumn id="27" xr3:uid="{00000000-0010-0000-0000-00001B000000}" name="TotalLiabilities"/>
    <tableColumn id="28" xr3:uid="{00000000-0010-0000-0000-00001C000000}" name="ShareCapital"/>
    <tableColumn id="29" xr3:uid="{00000000-0010-0000-0000-00001D000000}" name="StatutoryReserve"/>
    <tableColumn id="30" xr3:uid="{00000000-0010-0000-0000-00001E000000}" name="OtherReserves"/>
    <tableColumn id="31" xr3:uid="{00000000-0010-0000-0000-00001F000000}" name="RevaluationReserves"/>
    <tableColumn id="32" xr3:uid="{00000000-0010-0000-0000-000020000000}" name="ProposedDividends"/>
    <tableColumn id="33" xr3:uid="{00000000-0010-0000-0000-000021000000}" name="AdjustmenttoEquity"/>
    <tableColumn id="34" xr3:uid="{00000000-0010-0000-0000-000022000000}" name="PrioryarRetainedEarnings"/>
    <tableColumn id="35" xr3:uid="{00000000-0010-0000-0000-000023000000}" name="CurrentYearSurplus"/>
    <tableColumn id="36" xr3:uid="{00000000-0010-0000-0000-000024000000}" name="TaxRecoverable"/>
    <tableColumn id="37" xr3:uid="{00000000-0010-0000-0000-000025000000}" name="DeferredTaxAssets"/>
    <tableColumn id="38" xr3:uid="{00000000-0010-0000-0000-000026000000}" name="RetirementBenefitAssets"/>
    <tableColumn id="39" xr3:uid="{00000000-0010-0000-0000-000027000000}" name="OtherAssets"/>
    <tableColumn id="40" xr3:uid="{00000000-0010-0000-0000-000028000000}" name="IntangibleAssets"/>
    <tableColumn id="41" xr3:uid="{00000000-0010-0000-0000-000029000000}" name="PrepaidLeaseentals"/>
    <tableColumn id="42" xr3:uid="{00000000-0010-0000-0000-00002A000000}" name="InvestmentProperties"/>
    <tableColumn id="43" xr3:uid="{00000000-0010-0000-0000-00002B000000}" name="DividendPayable"/>
    <tableColumn id="44" xr3:uid="{00000000-0010-0000-0000-00002C000000}" name="NetLoanPortfolio"/>
    <tableColumn id="45" xr3:uid="{00000000-0010-0000-0000-00002D000000}" name="AccountsReceivables"/>
    <tableColumn id="46" xr3:uid="{00000000-0010-0000-0000-00002E000000}" name="PropertyEquipmentOtheassets"/>
    <tableColumn id="47" xr3:uid="{00000000-0010-0000-0000-00002F000000}" name="AccountsPayableOtherLiabilities"/>
    <tableColumn id="48" xr3:uid="{00000000-0010-0000-0000-000030000000}" name="CapitalGrants"/>
    <tableColumn id="49" xr3:uid="{00000000-0010-0000-0000-000031000000}" name="EQUITY"/>
    <tableColumn id="50" xr3:uid="{00000000-0010-0000-0000-000032000000}" name="RetainedEarnings"/>
    <tableColumn id="51" xr3:uid="{00000000-0010-0000-0000-000033000000}" name="OtherEquityAccounts"/>
    <tableColumn id="52" xr3:uid="{00000000-0010-0000-0000-000034000000}" name="TotalEquity"/>
    <tableColumn id="53" xr3:uid="{00000000-0010-0000-0000-000035000000}" name="TotalLiabilitiesandEquity"/>
    <tableColumn id="54" xr3:uid="{00000000-0010-0000-0000-000036000000}" name="TotalLiabilitiesNew"/>
    <tableColumn id="55" xr3:uid="{00000000-0010-0000-0000-000037000000}" name="TotalAssets"/>
    <tableColumn id="58" xr3:uid="{77CE0F01-D58C-4689-86D2-62A6B86F694B}" name="ShortTermDeposits"/>
    <tableColumn id="56" xr3:uid="{2C918C47-79C3-4812-A680-EACB824F658E}" name="WithdrawableFOSASavin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"/>
  <sheetViews>
    <sheetView tabSelected="1" topLeftCell="AU1" workbookViewId="0">
      <pane ySplit="1" topLeftCell="A2" activePane="bottomLeft" state="frozen"/>
      <selection pane="bottomLeft" activeCell="BC2" sqref="BC2"/>
    </sheetView>
  </sheetViews>
  <sheetFormatPr defaultColWidth="9" defaultRowHeight="14.5"/>
  <cols>
    <col min="1" max="1" width="18.453125" customWidth="1"/>
    <col min="4" max="4" width="5.453125" customWidth="1"/>
    <col min="6" max="6" width="12.1796875" customWidth="1"/>
    <col min="7" max="7" width="11.81640625" customWidth="1"/>
    <col min="8" max="8" width="20.453125" customWidth="1"/>
    <col min="9" max="9" width="32.453125" customWidth="1"/>
    <col min="11" max="11" width="23" customWidth="1"/>
    <col min="13" max="13" width="19.1796875" customWidth="1"/>
    <col min="14" max="14" width="21.81640625" customWidth="1"/>
    <col min="16" max="16" width="19.1796875" customWidth="1"/>
    <col min="17" max="17" width="24.54296875" customWidth="1"/>
    <col min="19" max="19" width="20.1796875" customWidth="1"/>
    <col min="23" max="23" width="20.7265625" customWidth="1"/>
    <col min="24" max="24" width="28.1796875" customWidth="1"/>
    <col min="34" max="34" width="25.7265625" customWidth="1"/>
    <col min="35" max="35" width="20" customWidth="1"/>
    <col min="36" max="36" width="16.26953125" customWidth="1"/>
    <col min="37" max="37" width="19.26953125" customWidth="1"/>
    <col min="38" max="38" width="25.7265625" customWidth="1"/>
    <col min="39" max="39" width="12.7265625" customWidth="1"/>
    <col min="40" max="40" width="17" customWidth="1"/>
    <col min="42" max="42" width="22.453125" customWidth="1"/>
    <col min="43" max="43" width="17.453125" customWidth="1"/>
    <col min="49" max="49" width="8.1796875" customWidth="1"/>
    <col min="50" max="50" width="17.81640625" customWidth="1"/>
    <col min="51" max="51" width="21.54296875" customWidth="1"/>
    <col min="52" max="52" width="11.7265625" customWidth="1"/>
    <col min="53" max="53" width="25.1796875" customWidth="1"/>
    <col min="54" max="54" width="19.81640625" customWidth="1"/>
    <col min="55" max="56" width="11.81640625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125</v>
      </c>
      <c r="BE1" t="s">
        <v>124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topLeftCell="A39" workbookViewId="0">
      <selection activeCell="F49" sqref="F49"/>
    </sheetView>
  </sheetViews>
  <sheetFormatPr defaultColWidth="9.1796875" defaultRowHeight="14.5"/>
  <cols>
    <col min="2" max="2" width="79" customWidth="1"/>
    <col min="3" max="3" width="16" customWidth="1"/>
  </cols>
  <sheetData>
    <row r="1" spans="1:3">
      <c r="A1" s="1"/>
      <c r="B1" s="2" t="s">
        <v>55</v>
      </c>
      <c r="C1" s="3"/>
    </row>
    <row r="2" spans="1:3">
      <c r="A2" s="1"/>
      <c r="B2" s="4" t="s">
        <v>56</v>
      </c>
      <c r="C2" s="3"/>
    </row>
    <row r="3" spans="1:3">
      <c r="A3" s="1"/>
      <c r="B3" s="4" t="s">
        <v>57</v>
      </c>
      <c r="C3" s="23">
        <f>Data[Name]</f>
        <v>0</v>
      </c>
    </row>
    <row r="4" spans="1:3">
      <c r="A4" s="1"/>
      <c r="B4" s="4" t="s">
        <v>58</v>
      </c>
      <c r="C4" s="5"/>
    </row>
    <row r="5" spans="1:3">
      <c r="A5" s="1"/>
      <c r="B5" s="4" t="s">
        <v>59</v>
      </c>
      <c r="C5" s="5">
        <f>Data[FinancialYear]</f>
        <v>0</v>
      </c>
    </row>
    <row r="6" spans="1:3">
      <c r="A6" s="1"/>
      <c r="B6" s="4" t="s">
        <v>60</v>
      </c>
      <c r="C6" s="24">
        <f>Data[StartDate]</f>
        <v>0</v>
      </c>
    </row>
    <row r="7" spans="1:3">
      <c r="A7" s="6"/>
      <c r="B7" s="4" t="s">
        <v>61</v>
      </c>
      <c r="C7" s="24">
        <f>Data[Asat]</f>
        <v>0</v>
      </c>
    </row>
    <row r="8" spans="1:3">
      <c r="A8" s="26"/>
      <c r="B8" s="28"/>
      <c r="C8" s="7" t="s">
        <v>62</v>
      </c>
    </row>
    <row r="9" spans="1:3">
      <c r="A9" s="27"/>
      <c r="B9" s="29"/>
      <c r="C9" s="9" t="s">
        <v>63</v>
      </c>
    </row>
    <row r="10" spans="1:3">
      <c r="A10" s="10" t="s">
        <v>64</v>
      </c>
      <c r="B10" s="11" t="s">
        <v>65</v>
      </c>
      <c r="C10" s="12"/>
    </row>
    <row r="11" spans="1:3">
      <c r="A11" s="13">
        <v>1</v>
      </c>
      <c r="B11" s="11" t="s">
        <v>66</v>
      </c>
      <c r="C11" s="14">
        <f>SUM(C12:C13)</f>
        <v>0</v>
      </c>
    </row>
    <row r="12" spans="1:3">
      <c r="A12" s="13">
        <v>1.1000000000000001</v>
      </c>
      <c r="B12" s="12" t="s">
        <v>67</v>
      </c>
      <c r="C12" s="15">
        <f>SUM(Data!F2)</f>
        <v>0</v>
      </c>
    </row>
    <row r="13" spans="1:3">
      <c r="A13" s="13">
        <v>1.2</v>
      </c>
      <c r="B13" s="12" t="s">
        <v>68</v>
      </c>
      <c r="C13" s="15">
        <f>SUM(Data!G2)</f>
        <v>0</v>
      </c>
    </row>
    <row r="14" spans="1:3">
      <c r="A14" s="13"/>
      <c r="B14" s="12"/>
      <c r="C14" s="16"/>
    </row>
    <row r="15" spans="1:3">
      <c r="A15" s="13">
        <v>2</v>
      </c>
      <c r="B15" s="11" t="s">
        <v>69</v>
      </c>
      <c r="C15" s="17">
        <f>SUM(Data!I2)</f>
        <v>0</v>
      </c>
    </row>
    <row r="16" spans="1:3">
      <c r="A16" s="13"/>
      <c r="B16" s="12"/>
      <c r="C16" s="16"/>
    </row>
    <row r="17" spans="1:3">
      <c r="A17" s="13">
        <v>3</v>
      </c>
      <c r="B17" s="11" t="s">
        <v>70</v>
      </c>
      <c r="C17" s="14">
        <f>SUM(C18:C24)</f>
        <v>0</v>
      </c>
    </row>
    <row r="18" spans="1:3">
      <c r="A18" s="13">
        <v>3.1</v>
      </c>
      <c r="B18" s="12" t="s">
        <v>71</v>
      </c>
      <c r="C18" s="15">
        <f>SUM(Data!K2)</f>
        <v>0</v>
      </c>
    </row>
    <row r="19" spans="1:3">
      <c r="A19" s="13">
        <v>3.2</v>
      </c>
      <c r="B19" s="12" t="s">
        <v>72</v>
      </c>
      <c r="C19" s="15">
        <f>SUM(Data!L2)</f>
        <v>0</v>
      </c>
    </row>
    <row r="20" spans="1:3">
      <c r="A20" s="13">
        <v>3.3</v>
      </c>
      <c r="B20" s="12" t="s">
        <v>73</v>
      </c>
      <c r="C20" s="15">
        <f>SUM(Data!M2)</f>
        <v>0</v>
      </c>
    </row>
    <row r="21" spans="1:3">
      <c r="A21" s="13">
        <v>3.4</v>
      </c>
      <c r="B21" s="12" t="s">
        <v>74</v>
      </c>
      <c r="C21" s="15">
        <f>SUM(Data!N2)</f>
        <v>0</v>
      </c>
    </row>
    <row r="22" spans="1:3">
      <c r="A22" s="13">
        <v>3.5</v>
      </c>
      <c r="B22" s="12" t="s">
        <v>14</v>
      </c>
      <c r="C22" s="15">
        <f>SUM(Data!O2)</f>
        <v>0</v>
      </c>
    </row>
    <row r="23" spans="1:3">
      <c r="A23" s="13">
        <v>3.6</v>
      </c>
      <c r="B23" s="12" t="s">
        <v>75</v>
      </c>
      <c r="C23" s="15">
        <f>SUM(Data!P2)</f>
        <v>0</v>
      </c>
    </row>
    <row r="24" spans="1:3">
      <c r="A24" s="13">
        <v>3.7</v>
      </c>
      <c r="B24" s="12" t="s">
        <v>76</v>
      </c>
      <c r="C24" s="15">
        <f>SUM(Data!Q2)</f>
        <v>0</v>
      </c>
    </row>
    <row r="25" spans="1:3">
      <c r="A25" s="13"/>
      <c r="B25" s="12"/>
      <c r="C25" s="15"/>
    </row>
    <row r="26" spans="1:3">
      <c r="A26" s="13">
        <v>4</v>
      </c>
      <c r="B26" s="11" t="s">
        <v>77</v>
      </c>
      <c r="C26" s="14">
        <f>C27-C28</f>
        <v>0</v>
      </c>
    </row>
    <row r="27" spans="1:3">
      <c r="A27" s="8">
        <v>4.0999999999999996</v>
      </c>
      <c r="B27" s="12" t="s">
        <v>78</v>
      </c>
      <c r="C27" s="15">
        <f>SUM(Data!R2)</f>
        <v>0</v>
      </c>
    </row>
    <row r="28" spans="1:3">
      <c r="A28" s="8">
        <v>4.2</v>
      </c>
      <c r="B28" s="12" t="s">
        <v>79</v>
      </c>
      <c r="C28" s="15">
        <f>SUM(Data!T2)</f>
        <v>0</v>
      </c>
    </row>
    <row r="29" spans="1:3">
      <c r="A29" s="8"/>
      <c r="B29" s="12"/>
      <c r="C29" s="16"/>
    </row>
    <row r="30" spans="1:3">
      <c r="A30" s="13">
        <v>5</v>
      </c>
      <c r="B30" s="11" t="s">
        <v>80</v>
      </c>
      <c r="C30" s="14">
        <f>SUM(C31:C33)</f>
        <v>0</v>
      </c>
    </row>
    <row r="31" spans="1:3">
      <c r="A31" s="8">
        <v>5.0999999999999996</v>
      </c>
      <c r="B31" s="12" t="s">
        <v>81</v>
      </c>
      <c r="C31" s="15">
        <f>SUM(Data!AJ2)</f>
        <v>0</v>
      </c>
    </row>
    <row r="32" spans="1:3">
      <c r="A32" s="8">
        <v>5.2</v>
      </c>
      <c r="B32" s="12" t="s">
        <v>82</v>
      </c>
      <c r="C32" s="15">
        <f>SUM(Data!AK2)</f>
        <v>0</v>
      </c>
    </row>
    <row r="33" spans="1:3">
      <c r="A33" s="8">
        <v>5.3</v>
      </c>
      <c r="B33" s="12" t="s">
        <v>83</v>
      </c>
      <c r="C33" s="15">
        <f>SUM(Data!AL2)</f>
        <v>0</v>
      </c>
    </row>
    <row r="34" spans="1:3">
      <c r="A34" s="8"/>
      <c r="B34" s="12"/>
      <c r="C34" s="16"/>
    </row>
    <row r="35" spans="1:3">
      <c r="A35" s="13">
        <v>6</v>
      </c>
      <c r="B35" s="11" t="s">
        <v>84</v>
      </c>
      <c r="C35" s="14">
        <f>SUM(C36:C40)</f>
        <v>0</v>
      </c>
    </row>
    <row r="36" spans="1:3">
      <c r="A36" s="8">
        <v>6.1</v>
      </c>
      <c r="B36" s="12" t="s">
        <v>85</v>
      </c>
      <c r="C36" s="15">
        <f>SUM(Data!AP2)</f>
        <v>0</v>
      </c>
    </row>
    <row r="37" spans="1:3">
      <c r="A37" s="8">
        <v>6.2</v>
      </c>
      <c r="B37" s="12" t="s">
        <v>86</v>
      </c>
      <c r="C37" s="15">
        <f>SUM(Data!S2)</f>
        <v>0</v>
      </c>
    </row>
    <row r="38" spans="1:3">
      <c r="A38" s="8">
        <v>6.3</v>
      </c>
      <c r="B38" s="12" t="s">
        <v>87</v>
      </c>
      <c r="C38" s="15">
        <f>SUM(Data!AO2)</f>
        <v>0</v>
      </c>
    </row>
    <row r="39" spans="1:3">
      <c r="A39" s="8">
        <v>6.4</v>
      </c>
      <c r="B39" s="12" t="s">
        <v>88</v>
      </c>
      <c r="C39" s="15">
        <f>SUM(Data!AN2)</f>
        <v>0</v>
      </c>
    </row>
    <row r="40" spans="1:3">
      <c r="A40" s="8">
        <v>6.5</v>
      </c>
      <c r="B40" s="12" t="s">
        <v>89</v>
      </c>
      <c r="C40" s="15">
        <f>SUM(Data!AM2)</f>
        <v>0</v>
      </c>
    </row>
    <row r="41" spans="1:3">
      <c r="A41" s="8"/>
      <c r="B41" s="12"/>
      <c r="C41" s="16"/>
    </row>
    <row r="42" spans="1:3">
      <c r="A42" s="8"/>
      <c r="B42" s="11" t="s">
        <v>90</v>
      </c>
      <c r="C42" s="14">
        <f>SUM(C11,C15,C17,C26,C30,C35)</f>
        <v>0</v>
      </c>
    </row>
    <row r="43" spans="1:3">
      <c r="A43" s="8"/>
      <c r="B43" s="12"/>
      <c r="C43" s="16"/>
    </row>
    <row r="44" spans="1:3">
      <c r="A44" s="8"/>
      <c r="B44" s="12"/>
      <c r="C44" s="16"/>
    </row>
    <row r="45" spans="1:3">
      <c r="A45" s="8"/>
      <c r="B45" s="11" t="s">
        <v>91</v>
      </c>
      <c r="C45" s="15"/>
    </row>
    <row r="46" spans="1:3">
      <c r="A46" s="8">
        <v>7</v>
      </c>
      <c r="B46" s="12" t="s">
        <v>122</v>
      </c>
      <c r="C46" s="15">
        <f>SUM(Data!BE2)</f>
        <v>0</v>
      </c>
    </row>
    <row r="47" spans="1:3">
      <c r="A47" s="8">
        <v>8</v>
      </c>
      <c r="B47" s="12" t="s">
        <v>123</v>
      </c>
      <c r="C47" s="15">
        <f>SUM(Data!BD2)</f>
        <v>0</v>
      </c>
    </row>
    <row r="48" spans="1:3">
      <c r="A48" s="8">
        <v>9</v>
      </c>
      <c r="B48" s="12" t="s">
        <v>92</v>
      </c>
      <c r="C48" s="15">
        <f>SUM(Data!U2)</f>
        <v>0</v>
      </c>
    </row>
    <row r="49" spans="1:3">
      <c r="A49" s="8"/>
      <c r="B49" s="11" t="s">
        <v>93</v>
      </c>
      <c r="C49" s="14">
        <f ca="1">SUM(C46:C49)</f>
        <v>0</v>
      </c>
    </row>
    <row r="50" spans="1:3">
      <c r="A50" s="8"/>
      <c r="B50" s="12"/>
      <c r="C50" s="15"/>
    </row>
    <row r="51" spans="1:3">
      <c r="A51" s="8">
        <v>10</v>
      </c>
      <c r="B51" s="11" t="s">
        <v>94</v>
      </c>
      <c r="C51" s="14">
        <f>SUM(C52:C57)</f>
        <v>0</v>
      </c>
    </row>
    <row r="52" spans="1:3">
      <c r="A52" s="8">
        <v>10.1</v>
      </c>
      <c r="B52" s="12" t="s">
        <v>95</v>
      </c>
      <c r="C52" s="15">
        <f>SUM(Data!V2)</f>
        <v>0</v>
      </c>
    </row>
    <row r="53" spans="1:3">
      <c r="A53" s="8">
        <v>10.199999999999999</v>
      </c>
      <c r="B53" s="12" t="s">
        <v>96</v>
      </c>
      <c r="C53" s="15">
        <f>SUM(Data!AQ2)</f>
        <v>0</v>
      </c>
    </row>
    <row r="54" spans="1:3">
      <c r="A54" s="8">
        <v>10.3</v>
      </c>
      <c r="B54" s="12" t="s">
        <v>97</v>
      </c>
      <c r="C54" s="15">
        <f>SUM(Data!W2)</f>
        <v>0</v>
      </c>
    </row>
    <row r="55" spans="1:3">
      <c r="A55" s="8">
        <v>10.4</v>
      </c>
      <c r="B55" s="12" t="s">
        <v>98</v>
      </c>
      <c r="C55" s="15">
        <f>SUM(Data!X2)</f>
        <v>0</v>
      </c>
    </row>
    <row r="56" spans="1:3">
      <c r="A56" s="8">
        <v>10.5</v>
      </c>
      <c r="B56" s="12" t="s">
        <v>99</v>
      </c>
      <c r="C56" s="15">
        <f>SUM(Data!Y2)</f>
        <v>0</v>
      </c>
    </row>
    <row r="57" spans="1:3">
      <c r="A57" s="8">
        <v>10.6</v>
      </c>
      <c r="B57" s="12" t="s">
        <v>100</v>
      </c>
      <c r="C57" s="15">
        <f>SUM(Data!Z2)</f>
        <v>0</v>
      </c>
    </row>
    <row r="58" spans="1:3">
      <c r="A58" s="8"/>
      <c r="B58" s="11" t="s">
        <v>101</v>
      </c>
      <c r="C58" s="14">
        <f ca="1">C51+C49</f>
        <v>0</v>
      </c>
    </row>
    <row r="59" spans="1:3">
      <c r="A59" s="8"/>
      <c r="B59" s="12"/>
      <c r="C59" s="16"/>
    </row>
    <row r="60" spans="1:3">
      <c r="A60" s="8"/>
      <c r="B60" s="11" t="s">
        <v>48</v>
      </c>
      <c r="C60" s="15"/>
    </row>
    <row r="61" spans="1:3">
      <c r="A61" s="8">
        <v>9</v>
      </c>
      <c r="B61" s="12" t="s">
        <v>102</v>
      </c>
      <c r="C61" s="15">
        <f>Data[ShareCapital]</f>
        <v>0</v>
      </c>
    </row>
    <row r="62" spans="1:3">
      <c r="A62" s="8">
        <v>10</v>
      </c>
      <c r="B62" s="12" t="s">
        <v>103</v>
      </c>
      <c r="C62" s="15"/>
    </row>
    <row r="63" spans="1:3">
      <c r="A63" s="8"/>
      <c r="B63" s="12"/>
      <c r="C63" s="16"/>
    </row>
    <row r="64" spans="1:3">
      <c r="A64" s="8">
        <v>11</v>
      </c>
      <c r="B64" s="11" t="s">
        <v>104</v>
      </c>
      <c r="C64" s="14">
        <f>C66+C65</f>
        <v>0</v>
      </c>
    </row>
    <row r="65" spans="1:3">
      <c r="A65" s="8">
        <v>11.1</v>
      </c>
      <c r="B65" s="12" t="s">
        <v>105</v>
      </c>
      <c r="C65" s="15">
        <f>SUM(Data!AH2)</f>
        <v>0</v>
      </c>
    </row>
    <row r="66" spans="1:3">
      <c r="A66" s="8">
        <v>11.2</v>
      </c>
      <c r="B66" s="12" t="s">
        <v>106</v>
      </c>
      <c r="C66" s="15">
        <f>SUM(Data!AI2)</f>
        <v>0</v>
      </c>
    </row>
    <row r="67" spans="1:3">
      <c r="A67" s="8"/>
      <c r="B67" s="12"/>
      <c r="C67" s="16"/>
    </row>
    <row r="68" spans="1:3">
      <c r="A68" s="8">
        <v>12</v>
      </c>
      <c r="B68" s="11" t="s">
        <v>107</v>
      </c>
      <c r="C68" s="14">
        <f>SUM(C69:C73)</f>
        <v>0</v>
      </c>
    </row>
    <row r="69" spans="1:3">
      <c r="A69" s="8">
        <v>12.1</v>
      </c>
      <c r="B69" s="12" t="s">
        <v>108</v>
      </c>
      <c r="C69" s="15">
        <f>SUM(Data!AC2)</f>
        <v>0</v>
      </c>
    </row>
    <row r="70" spans="1:3">
      <c r="A70" s="8">
        <v>12.2</v>
      </c>
      <c r="B70" s="12" t="s">
        <v>109</v>
      </c>
      <c r="C70" s="15">
        <f>SUM(Data!AD2)</f>
        <v>0</v>
      </c>
    </row>
    <row r="71" spans="1:3">
      <c r="A71" s="8">
        <v>12.3</v>
      </c>
      <c r="B71" s="12" t="s">
        <v>110</v>
      </c>
      <c r="C71" s="15">
        <f>SUM(Data!AE2)</f>
        <v>0</v>
      </c>
    </row>
    <row r="72" spans="1:3">
      <c r="A72" s="8">
        <v>12.4</v>
      </c>
      <c r="B72" s="12" t="s">
        <v>111</v>
      </c>
      <c r="C72" s="15">
        <f>SUM(Data!AF2)</f>
        <v>0</v>
      </c>
    </row>
    <row r="73" spans="1:3">
      <c r="A73" s="8">
        <v>12.5</v>
      </c>
      <c r="B73" s="12" t="s">
        <v>112</v>
      </c>
      <c r="C73" s="15">
        <f>SUM(Data!AG2)</f>
        <v>0</v>
      </c>
    </row>
    <row r="74" spans="1:3">
      <c r="A74" s="8"/>
      <c r="B74" s="11" t="s">
        <v>113</v>
      </c>
      <c r="C74" s="14">
        <f>SUM(C61,C62,C64,C68)</f>
        <v>0</v>
      </c>
    </row>
    <row r="75" spans="1:3">
      <c r="A75" s="8"/>
      <c r="B75" s="12"/>
      <c r="C75" s="16"/>
    </row>
    <row r="76" spans="1:3">
      <c r="A76" s="18"/>
      <c r="B76" s="19" t="s">
        <v>114</v>
      </c>
      <c r="C76" s="20">
        <f ca="1">SUM(C58,C74)</f>
        <v>0</v>
      </c>
    </row>
    <row r="77" spans="1:3">
      <c r="A77" s="1"/>
      <c r="B77" s="4"/>
      <c r="C77" s="3"/>
    </row>
    <row r="78" spans="1:3">
      <c r="A78" s="25" t="s">
        <v>115</v>
      </c>
      <c r="B78" s="25"/>
      <c r="C78" s="25"/>
    </row>
    <row r="79" spans="1:3">
      <c r="A79" s="1"/>
      <c r="B79" s="4"/>
      <c r="C79" s="3"/>
    </row>
    <row r="80" spans="1:3">
      <c r="A80" s="1"/>
      <c r="B80" s="21" t="s">
        <v>116</v>
      </c>
      <c r="C80" s="22"/>
    </row>
    <row r="81" spans="1:3">
      <c r="A81" s="1"/>
      <c r="B81" s="22" t="s">
        <v>117</v>
      </c>
      <c r="C81" s="22"/>
    </row>
    <row r="82" spans="1:3">
      <c r="A82" s="1"/>
      <c r="B82" s="22" t="s">
        <v>118</v>
      </c>
      <c r="C82" s="22"/>
    </row>
    <row r="83" spans="1:3">
      <c r="A83" s="1"/>
      <c r="B83" s="21" t="s">
        <v>119</v>
      </c>
      <c r="C83" s="22"/>
    </row>
    <row r="84" spans="1:3">
      <c r="A84" s="1"/>
      <c r="B84" s="22" t="s">
        <v>120</v>
      </c>
      <c r="C84" s="22"/>
    </row>
    <row r="85" spans="1:3">
      <c r="A85" s="1"/>
      <c r="B85" s="21" t="s">
        <v>121</v>
      </c>
      <c r="C85" s="22"/>
    </row>
  </sheetData>
  <mergeCells count="3">
    <mergeCell ref="A78:C78"/>
    <mergeCell ref="A8:A9"/>
    <mergeCell ref="B8:B9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C6" rgbClr="CFC834"/>
    <comment s:ref="C7" rgbClr="CFC83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Statement of Fnancial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MUISYO</cp:lastModifiedBy>
  <dcterms:created xsi:type="dcterms:W3CDTF">2022-11-14T08:47:00Z</dcterms:created>
  <dcterms:modified xsi:type="dcterms:W3CDTF">2024-04-18T10:37:18Z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450953C5B5C147AD9208ACFA3B20F3C4</vt:lpwstr>
  </property>
  <property fmtid="{D5CDD505-2E9C-101B-9397-08002B2CF9AE}" pid="3" name="KSOProductBuildVer">
    <vt:lpwstr>1033-11.2.0.11380</vt:lpwstr>
  </property>
</Properties>
</file>